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Mis proyectos\Gestor de Horarios\auto-scheduler-main\public\"/>
    </mc:Choice>
  </mc:AlternateContent>
  <xr:revisionPtr revIDLastSave="0" documentId="13_ncr:1_{5ABCCCAF-EF12-4E48-8384-4C62D7611F6F}" xr6:coauthVersionLast="47" xr6:coauthVersionMax="47" xr10:uidLastSave="{00000000-0000-0000-0000-000000000000}"/>
  <bookViews>
    <workbookView xWindow="-120" yWindow="-120" windowWidth="29040" windowHeight="15720" activeTab="1" xr2:uid="{F5580395-DEBC-4BB1-BB2D-9FA74A84A854}"/>
  </bookViews>
  <sheets>
    <sheet name="Novedades Semanal" sheetId="1" r:id="rId1"/>
    <sheet name="BBDD_Interna" sheetId="2" r:id="rId2"/>
  </sheets>
  <definedNames>
    <definedName name="_xlnm._FilterDatabase" localSheetId="0" hidden="1">'Novedades Semanal'!$A$1:$K$37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<sst xmlns="http://schemas.openxmlformats.org/spreadsheetml/2006/main" count="475" uniqueCount="95">
  <si>
    <t>SUPERVISOR</t>
  </si>
  <si>
    <t>LOG ID</t>
  </si>
  <si>
    <t>NOMBRE COMPLETO</t>
  </si>
  <si>
    <t>LUNES</t>
  </si>
  <si>
    <t>MARTES</t>
  </si>
  <si>
    <t>MIÉRCOLES</t>
  </si>
  <si>
    <t>JUEVES</t>
  </si>
  <si>
    <t>VIERNES</t>
  </si>
  <si>
    <t>SÁBADO</t>
  </si>
  <si>
    <t>DOMINGO</t>
  </si>
  <si>
    <t>OBSERVACIONES</t>
  </si>
  <si>
    <t>Libre</t>
  </si>
  <si>
    <t>Sub GenerarPlantillaNovedades()
    Dim ws As Worksheet
    Dim headerRange As Range
    Dim dataRange As Range
    Dim listaJornadas As String
    Dim currentRow As Integer
    Dim element As Variant
    ' 1. Configurar Hoja
    Set ws = ThisWorkbook.ActiveSheet
    ws.Cells.Clear
    ws.Name = "Novedades Semanal"
    ' 2. Definir Jornadas Estándar
    listaJornadas = "6 a 14,7 a 15,8 a 17,13 a 20,15 a 22,Libre,Vacaciones,Incapacidad"
    ' 3. Crear Encabezados
    ws.Range("A1").Value = "SUPERVISOR"
    ws.Range("B1").Value = "LOG ID"
    ws.Range("C1").Value = "NOMBRE COMPLETO"
    ws.Range("D1").Value = "LUNES"
    ws.Range("E1").Value = "MARTES"
    ws.Range("F1").Value = "MIÉRCOLES"
    ws.Range("G1").Value = "JUEVES"
    ws.Range("H1").Value = "VIERNES"
    ws.Range("I1").Value = "SÁBADO"
    ws.Range("J1").Value = "DOMINGO"
    ws.Range("K1").Value = "OBSERVACIONES"
    ' Estilo Encabezados
    Set headerRange = ws.Range("A1:K1")
    With headerRange
        .Interior.Color = RGB(0, 51, 102) ' Azul Corporativo
        .Font.Color = RGB(255, 255, 255)
        .Font.Bold = True
        .HorizontalAlignment = xlCenter
    End With
    currentRow = 2
    ' 4. Cargar Base de Datos por GRUPOS (Para evitar error de línea)
    ' --- GRUPO 1: ENRIQUE CASCANTE ---
    Dim grupo1 As Variant
    grupo1 = Array( _
        Array("113105", "Sanabria Jiménez Carlos", "Enrique Cascante"), _
        Array("113137", "Sandi Fernandez Maureen", "Enrique Cascante"), _
        Array("113089", "Lopez Zamora Yareth Sofia", "Enrique Cascante"), _
        Array("113048", "Murillo Arauz Fiorella Shirlene", "Enrique Cascante"), _
        Array("113052", "Sandoval Granados Melany", "Enrique Cascante"), _
        Array("113046", "Barrera Quintero Leonel", "Enrique Cascante"), _
        Array("113078", "López Rodriguez Jennifer Natalia", "Enrique Cascante"), _
        Array("113092", "Morales Vargas Kendall Steve", "Enrique Cascante") _
    )
    For Each element In grupo1
        ws.Cells(currentRow, 1).Value = element(2)
        ws.Cells(currentRow, 2).Value = element(0)
        ws.Cells(currentRow, 3).Value = element(1)
        currentRow = currentRow + 1
    Next element
    ' --- GRUPO 2: JUNIOR BOJORGE ---
    Dim grupo2 As Variant
    grupo2 = Array( _
        Array("113067", "Brenes Arrones Wendy Nalleli", "Junior Bojorge"), _
        Array("113060", "López García Santiago", "Junior Bojorge"), _
        Array("113065", "Ocampo Fernández Marilyn", "Junior Bojorge"), _
        Array("113034", "Martínez Moreno Hazel Rubenia", "Junior Bojorge"), _
        Array("113051", "Sandino Calderón Jenifer", "Junior Bojorge"), _
        Array("113012", "Quesada Azofeifa Denis Steven", "Junior Bojorge"), _
        Array("113004", "Ortiz Jimenez Angie de los Angeles", "Junior Bojorge"), _
        Array("113038", "Arana Zúñiga Daniel", "Junior Bojorge"), _
        Array("113069", "Mora Guido Andrey Mauricio", "Junior Bojorge"), _
        Array("113077", "Medal Armas Brandon José", "Junior Bojorge") _
    )
    For Each element In grupo2
        ws.Cells(currentRow, 1).Value = element(2)
        ws.Cells(currentRow, 2).Value = element(0)
        ws.Cells(currentRow, 3).Value = element(1)
        currentRow = currentRow + 1
    Next element
    ' --- GRUPO 3: KEVIN CHAVES ---
    Dim grupo3 As Variant
    grupo3 = Array( _
        Array("113062", "Robinson Rojas Sebastián", "Kevin Chaves"), _
        Array("113080", "Oporta Martínez Fernando Uriel", "Kevin Chaves"), _
        Array("113068", "Agüero Cerdas, Eva María", "Kevin Chaves"), _
        Array("113144", "Peralta Vargas Ashlli Massiel", "Kevin Chaves"), _
        Array("113110", "Herrera Vargas José Andres", "Kevin Chaves"), _
        Array("113015", "Bolaños Salas Verónica del Guadalupe", "Kevin Chaves"), _
        Array("113047", "Fonseca Jiménez Ligia", "Kevin Chaves"), _
        Array("113021", "Vega Ramirez David", "Kevin Chaves"), _
        Array("113027", "Castro Mora Ricardo Jesús", "Kevin Chaves"), _
        Array("113008", "Marcano De Santis Daneiker Adrian", "Kevin Chaves"), _
        Array("113086", "Zúñiga Hernández Willian Daniel", "Kevin Chaves"), _
        Array("113101", "Cascante Quesada Fernando Javier", "Kevin Chaves"), _
        Array("113025", "Olivas Segura Jossimar de Jesus", "Kevin Chaves"), _
        Array("113028", "Delgado Alvarado Adeny", "Kevin Chaves") _
    )
    For Each element In grupo3
        ws.Cells(currentRow, 1).Value = element(2)
        ws.Cells(currentRow, 2).Value = element(0)
        ws.Cells(currentRow, 3).Value = element(1)
        currentRow = currentRow + 1
    Next element
    ' --- GRUPO 4: YULIANA SOLÍS ---
    Dim grupo4 As Variant
    grupo4 = Array( _
        Array("113058", "Corrales Villegas Hillary", "Yuliana Solís"), _
        Array("113007", "Gonzalez Corea Nakisha María", "Yuliana Solís"), _
        Array("113091", "Abarca Thames Alejandro Enrique", "Yuliana Solís"), _
        Array("113123", "Rojas Aparicio Kevin Alberto", "Yuliana Solís"), _
        Array("113079", "Soto Umaña Oscar Andres", "Yuliana Solís") _
    )
    For Each element In grupo4
        ws.Cells(currentRow, 1).Value = element(2)
        ws.Cells(currentRow, 2).Value = element(0)
        ws.Cells(currentRow, 3).Value = element(1)
        currentRow = currentRow + 1
    Next element
    ' 5. Rellenar Horarios por Defecto (8 a 17) y Validacion
    Dim lastRow As Integer
    lastRow = currentRow - 1
    ws.Range("D2:H" &amp; lastRow).Value = "8 a 17"
    ws.Range("I2:J" &amp; lastRow).Value = "Libre"
    Set dataRange = ws.Range("D2:J" &amp; lastRow)
    With dataRange.Validation
        .Delete
        .Add Type:=xlValidateList, AlertStyle:=xlValidAlertStop, Operator:= _
        xlBetween, Formula1:=listaJornadas
        .IgnoreBlank = True
        .InCellDropdown = True
        .ShowInput = True
        .ShowError = False ' Permite escritura manual
    End With
    ' 6. Ajustes Finales
    ws.Columns("A:K").AutoFit
    ws.Range("A1").AutoFilter
    MsgBox "¡Plantilla generada correctamente!", vbInformation
End Sub</t>
  </si>
  <si>
    <t xml:space="preserve">Supervisor </t>
  </si>
  <si>
    <t xml:space="preserve">Proyecto </t>
  </si>
  <si>
    <t xml:space="preserve">Login </t>
  </si>
  <si>
    <t xml:space="preserve">Asesor </t>
  </si>
  <si>
    <t xml:space="preserve">Cedula </t>
  </si>
  <si>
    <t>Enrique Cascante</t>
  </si>
  <si>
    <t>Sanabria Jiménez Carlos</t>
  </si>
  <si>
    <t xml:space="preserve">Sandi Fernandez Maureen </t>
  </si>
  <si>
    <t xml:space="preserve">Lopez Zamora Yareth Sofia </t>
  </si>
  <si>
    <t>Murillo Arauz Fiorella Shirlene</t>
  </si>
  <si>
    <t>Sandoval Granados Melany       </t>
  </si>
  <si>
    <t xml:space="preserve">Barrera Quintero Leonel </t>
  </si>
  <si>
    <t>´155838298215</t>
  </si>
  <si>
    <t>López Rodriguez Jennifer Natalia</t>
  </si>
  <si>
    <t>Gina Paola Martínez</t>
  </si>
  <si>
    <t xml:space="preserve">BP Redes sociales </t>
  </si>
  <si>
    <t>Cediel Rojas Melanny Lizeth</t>
  </si>
  <si>
    <t>Cely Leon Brayan</t>
  </si>
  <si>
    <t>Enciso Huertas Camilo Antonio</t>
  </si>
  <si>
    <t>Fierro Hernandez Estefania</t>
  </si>
  <si>
    <t>Fierro Hernandez Karen Tatiana</t>
  </si>
  <si>
    <t>Garzon Barrios Michael Steven</t>
  </si>
  <si>
    <t>Lancheros Rocha Edwin Dario</t>
  </si>
  <si>
    <t>Lopez Combita Cristian Camilo</t>
  </si>
  <si>
    <t>Martinez Pulido Luis Angel</t>
  </si>
  <si>
    <t>Muñoz Fresneda  Manuel Felipe</t>
  </si>
  <si>
    <t>Pardo Achury Carol Tatiana</t>
  </si>
  <si>
    <t>Herrera Sanchez Natalia Del Pilar</t>
  </si>
  <si>
    <t xml:space="preserve">Junior Bojorge </t>
  </si>
  <si>
    <t xml:space="preserve">Brenes Arrones Wendy Nalleli </t>
  </si>
  <si>
    <t xml:space="preserve">López García Santiago    	</t>
  </si>
  <si>
    <t>Ocampo Fernández Marilyn</t>
  </si>
  <si>
    <t>Martínez Moreno Hazel Rubenia</t>
  </si>
  <si>
    <t xml:space="preserve">Vega Arroyo Eric </t>
  </si>
  <si>
    <t xml:space="preserve">Gamboa Montenegro Daniel </t>
  </si>
  <si>
    <t xml:space="preserve">Zamora Obando Steven </t>
  </si>
  <si>
    <t xml:space="preserve">Picado Vindas Christian </t>
  </si>
  <si>
    <t>Kevin Chaves</t>
  </si>
  <si>
    <t>Robinson Rojas Sebastián</t>
  </si>
  <si>
    <t>Oporta Martínez Fernando Uriel</t>
  </si>
  <si>
    <t>155826890635</t>
  </si>
  <si>
    <t>Agüero Cerdas, Eva María</t>
  </si>
  <si>
    <t>Peralta Vargas Ashlli Massiel</t>
  </si>
  <si>
    <t>´155825670614</t>
  </si>
  <si>
    <t>Bolaños Salas Verónica del Guadalupe</t>
  </si>
  <si>
    <t xml:space="preserve">Fonseca Jiménez Ligia </t>
  </si>
  <si>
    <t>Vega Ramirez David</t>
  </si>
  <si>
    <t xml:space="preserve">Castro Mora Ricardo Jesús </t>
  </si>
  <si>
    <t>Marcano De Santis Daneiker Adrian</t>
  </si>
  <si>
    <t>186203047604</t>
  </si>
  <si>
    <t>Cascante Quesada Fernando Javier</t>
  </si>
  <si>
    <t>Olivas Segura Jossimar de Jesus</t>
  </si>
  <si>
    <t>Delgado Alvarado Adeny</t>
  </si>
  <si>
    <t>Yuliana Solís</t>
  </si>
  <si>
    <t xml:space="preserve">Sandino Calderón Jenifer </t>
  </si>
  <si>
    <t>Ortiz Jimenez Angie de los Angeles</t>
  </si>
  <si>
    <t>Arana Zúñiga Daniel</t>
  </si>
  <si>
    <t>Cerdas Hidalgo, Bryan David</t>
  </si>
  <si>
    <t>Zúñiga Rodriguez, Yulanie Yuseth</t>
  </si>
  <si>
    <t xml:space="preserve">Sagastizado Cardoza Alberto </t>
  </si>
  <si>
    <t>´122201566834</t>
  </si>
  <si>
    <t>Corrales Villegas Hillary</t>
  </si>
  <si>
    <t>Sanabria Vargas, Stephanie Priscilla</t>
  </si>
  <si>
    <t>Villaplana Madrigal, Eduardo de la Trinidad</t>
  </si>
  <si>
    <t>Rojas Aparicio Kevin Alberto</t>
  </si>
  <si>
    <t>Soto Umaña Oscar Andres</t>
  </si>
  <si>
    <t>Sub Linea de Negocio</t>
  </si>
  <si>
    <t>Banca Fácil / 800 Tarjetas</t>
  </si>
  <si>
    <t>RRSS</t>
  </si>
  <si>
    <t>Banca Fácil / 800 Tarjetas / Contraloría</t>
  </si>
  <si>
    <t>Banca Fácil / 800 Tarjetas / Contraloria / Aura</t>
  </si>
  <si>
    <t>Banca Fácil / 800 Tarjetas / Contraloría / Conexión y Punto</t>
  </si>
  <si>
    <t>Cancelacion de Tarjetas / Visa / Aura / Conexión y Punto / Mesa Fraude  / MiPymes / 800Tarjetas</t>
  </si>
  <si>
    <t>Venta de bienes</t>
  </si>
  <si>
    <t>Outbound</t>
  </si>
  <si>
    <t>Nocturnos</t>
  </si>
  <si>
    <t>Banca Fácil / 800 Tarjetas / Aura / Pensiones</t>
  </si>
  <si>
    <t>Banca Fácil / 800 Tarjetas / Aura</t>
  </si>
  <si>
    <t>Banca Fácil / 800 Tarjetas / Pensiones</t>
  </si>
  <si>
    <t>Voz</t>
  </si>
  <si>
    <t xml:space="preserve">Nocturno </t>
  </si>
  <si>
    <t>Banca Fácil / 800 Tarjetas / Inglés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</si>
</sst>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6" fillId="0" borderId="0" xfId="0" applyNumberFormat="1" applyFont="1" applyAlignment="1" applyProtection="1">
      <alignment horizontal="left"/>
      <protection locked="0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1" applyNumberFormat="1" applyFont="1" applyFill="1" applyBorder="1" applyAlignment="1">
      <alignment horizont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6" fillId="0" borderId="0" xfId="0" applyFont="1"/>
    <xf numFmtId="0" fontId="8" fillId="0" borderId="1" xfId="0" applyFont="1" applyBorder="1" applyAlignment="1">
      <alignment horizontal="center" wrapText="1"/>
    </xf>
    <xf numFmtId="0" fontId="5" fillId="0" borderId="1" xfId="1" quotePrefix="1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</cellXfs>
  <cellStyles count="2">
    <cellStyle name="Normal" xfId="0" builtinId="0"/>
    <cellStyle name="Porcentaje" xfId="1" builtinId="5"/>
  </cellStyles>
  <dxfs count="6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0CE2-FBA7-4F50-AEAE-B70C07628143}">
  <sheetPr codeName="Hoja1"/>
  <dimension ref="A1:L37"/>
  <sheetViews>
    <sheetView workbookViewId="0">
      <selection activeCell="D33" sqref="D33"/>
    </sheetView>
  </sheetViews>
  <sheetFormatPr baseColWidth="10" defaultRowHeight="14.25"/>
  <cols>
    <col min="1" max="1" width="16.375" bestFit="1" customWidth="1"/>
    <col min="2" max="2" width="7.25" bestFit="1" customWidth="1"/>
    <col min="3" max="3" width="35.75" bestFit="1" customWidth="1"/>
    <col min="4" max="4" width="11.625" bestFit="1" customWidth="1"/>
    <col min="5" max="5" width="12.875" bestFit="1" customWidth="1"/>
    <col min="6" max="6" width="16.25" bestFit="1" customWidth="1"/>
    <col min="7" max="7" width="12.125" bestFit="1" customWidth="1"/>
    <col min="8" max="8" width="13.375" bestFit="1" customWidth="1"/>
    <col min="9" max="9" width="13" bestFit="1" customWidth="1"/>
    <col min="10" max="10" width="14.875" bestFit="1" customWidth="1"/>
    <col min="11" max="11" width="16.75" bestFit="1" customWidth="1"/>
    <col min="12" max="12" width="0" hidden="1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L2" t="s">
        <v>12</v>
      </c>
    </row>
    <row r="3" spans="1:12"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2"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2"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2"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2"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2"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2"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2"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2"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2"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2"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2"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2"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2"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4:10"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4:10"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4:10"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4:10"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4:10"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4:10"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4:10"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4:10"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4:10"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4:10"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4:10"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4:10"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4:10"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4:10"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4:10"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4:10"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4:10"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4:10"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4:10"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4:10"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4:10"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</sheetData>
  <autoFilter ref="A1:K37" xr:uid="{DC740CE2-FBA7-4F50-AEAE-B70C07628143}"/>
  <dataConsolidate/>
  <phoneticPr fontId="2" type="noConversion"/>
  <dataValidations count="1">
    <dataValidation type="list" allowBlank="1" showInputMessage="1" sqref="D2:J37" xr:uid="{608C420C-1E87-45AA-9386-DA84CA677728}">
      <formula1>"6 a 14,7 a 15,8 a 19,13 a 20,15 a 22,Libre,Vacaciones,Incapacidad"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6E3E-7922-40E3-B41C-EB766127E14A}">
  <dimension ref="A1:F51"/>
  <sheetViews>
    <sheetView tabSelected="1" topLeftCell="A3" workbookViewId="0">
      <selection activeCell="F27" sqref="F27"/>
    </sheetView>
  </sheetViews>
  <sheetFormatPr baseColWidth="10" defaultRowHeight="15"/>
  <cols>
    <col min="1" max="1" width="16.125" style="19" customWidth="1"/>
    <col min="2" max="2" width="29" style="19" bestFit="1" customWidth="1"/>
    <col min="3" max="3" width="13" style="19" customWidth="1"/>
    <col min="4" max="4" width="35.5" style="20" customWidth="1"/>
    <col min="5" max="5" width="18.5" style="19" customWidth="1"/>
    <col min="6" max="6" width="86.875" style="14" bestFit="1" customWidth="1"/>
  </cols>
  <sheetData>
    <row r="1" spans="1:6" ht="15.75">
      <c r="A1" s="2" t="s">
        <v>13</v>
      </c>
      <c r="B1" s="3" t="s">
        <v>14</v>
      </c>
      <c r="C1" s="3" t="s">
        <v>15</v>
      </c>
      <c r="D1" s="2" t="s">
        <v>16</v>
      </c>
      <c r="E1" s="3" t="s">
        <v>17</v>
      </c>
      <c r="F1" s="3" t="s">
        <v>79</v>
      </c>
    </row>
    <row r="2" spans="1:6">
      <c r="A2" s="4" t="s">
        <v>18</v>
      </c>
      <c r="B2" s="5" t="s">
        <v>92</v>
      </c>
      <c r="C2" s="6">
        <v>113105</v>
      </c>
      <c r="D2" s="4" t="s">
        <v>19</v>
      </c>
      <c r="E2" s="5">
        <v>115950746</v>
      </c>
      <c r="F2" s="7" t="s">
        <v>90</v>
      </c>
    </row>
    <row r="3" spans="1:6">
      <c r="A3" s="4" t="s">
        <v>18</v>
      </c>
      <c r="B3" s="5" t="s">
        <v>92</v>
      </c>
      <c r="C3" s="5">
        <v>113137</v>
      </c>
      <c r="D3" s="4" t="s">
        <v>20</v>
      </c>
      <c r="E3" s="8">
        <v>112370517</v>
      </c>
      <c r="F3" s="7" t="s">
        <v>82</v>
      </c>
    </row>
    <row r="4" spans="1:6">
      <c r="A4" s="4" t="s">
        <v>18</v>
      </c>
      <c r="B4" s="5" t="s">
        <v>92</v>
      </c>
      <c r="C4" s="5">
        <v>113089</v>
      </c>
      <c r="D4" s="4" t="s">
        <v>21</v>
      </c>
      <c r="E4" s="5">
        <v>118140433</v>
      </c>
      <c r="F4" s="7" t="s">
        <v>83</v>
      </c>
    </row>
    <row r="5" spans="1:6">
      <c r="A5" s="4" t="s">
        <v>18</v>
      </c>
      <c r="B5" s="5" t="s">
        <v>92</v>
      </c>
      <c r="C5" s="5">
        <v>113048</v>
      </c>
      <c r="D5" s="4" t="s">
        <v>22</v>
      </c>
      <c r="E5" s="5">
        <v>119150622</v>
      </c>
      <c r="F5" s="7" t="s">
        <v>83</v>
      </c>
    </row>
    <row r="6" spans="1:6">
      <c r="A6" s="4" t="s">
        <v>18</v>
      </c>
      <c r="B6" s="5" t="s">
        <v>92</v>
      </c>
      <c r="C6" s="5">
        <v>113052</v>
      </c>
      <c r="D6" s="4" t="s">
        <v>23</v>
      </c>
      <c r="E6" s="5">
        <v>118660687</v>
      </c>
      <c r="F6" s="7" t="s">
        <v>82</v>
      </c>
    </row>
    <row r="7" spans="1:6">
      <c r="A7" s="4" t="s">
        <v>18</v>
      </c>
      <c r="B7" s="5" t="s">
        <v>92</v>
      </c>
      <c r="C7" s="5">
        <v>113046</v>
      </c>
      <c r="D7" s="9" t="s">
        <v>24</v>
      </c>
      <c r="E7" s="5" t="s">
        <v>25</v>
      </c>
      <c r="F7" s="7" t="s">
        <v>84</v>
      </c>
    </row>
    <row r="8" spans="1:6">
      <c r="A8" s="4" t="s">
        <v>18</v>
      </c>
      <c r="B8" s="5" t="s">
        <v>92</v>
      </c>
      <c r="C8" s="6">
        <v>113078</v>
      </c>
      <c r="D8" s="4" t="s">
        <v>26</v>
      </c>
      <c r="E8" s="10">
        <v>117330306</v>
      </c>
      <c r="F8" s="7" t="s">
        <v>83</v>
      </c>
    </row>
    <row r="9" spans="1:6" ht="15.75">
      <c r="A9" s="11" t="s">
        <v>27</v>
      </c>
      <c r="B9" s="12" t="s">
        <v>28</v>
      </c>
      <c r="C9" s="12">
        <v>303804</v>
      </c>
      <c r="D9" s="11" t="s">
        <v>29</v>
      </c>
      <c r="E9" s="13">
        <v>1010022989</v>
      </c>
      <c r="F9" s="14" t="s">
        <v>81</v>
      </c>
    </row>
    <row r="10" spans="1:6" ht="15.75">
      <c r="A10" s="11" t="s">
        <v>27</v>
      </c>
      <c r="B10" s="12" t="s">
        <v>28</v>
      </c>
      <c r="C10" s="12">
        <v>303805</v>
      </c>
      <c r="D10" s="11" t="s">
        <v>30</v>
      </c>
      <c r="E10" s="13">
        <v>1012404565</v>
      </c>
      <c r="F10" s="14" t="s">
        <v>81</v>
      </c>
    </row>
    <row r="11" spans="1:6" ht="15.75">
      <c r="A11" s="11" t="s">
        <v>27</v>
      </c>
      <c r="B11" s="12" t="s">
        <v>28</v>
      </c>
      <c r="C11" s="12">
        <v>303807</v>
      </c>
      <c r="D11" s="11" t="s">
        <v>31</v>
      </c>
      <c r="E11" s="13">
        <v>1026286615</v>
      </c>
      <c r="F11" s="14" t="s">
        <v>81</v>
      </c>
    </row>
    <row r="12" spans="1:6" ht="15.75">
      <c r="A12" s="11" t="s">
        <v>27</v>
      </c>
      <c r="B12" s="12" t="s">
        <v>28</v>
      </c>
      <c r="C12" s="12">
        <v>303808</v>
      </c>
      <c r="D12" s="11" t="s">
        <v>32</v>
      </c>
      <c r="E12" s="13">
        <v>1023035582</v>
      </c>
      <c r="F12" s="14" t="s">
        <v>81</v>
      </c>
    </row>
    <row r="13" spans="1:6" ht="15.75">
      <c r="A13" s="11" t="s">
        <v>27</v>
      </c>
      <c r="B13" s="12" t="s">
        <v>28</v>
      </c>
      <c r="C13" s="12">
        <v>303809</v>
      </c>
      <c r="D13" s="11" t="s">
        <v>33</v>
      </c>
      <c r="E13" s="13">
        <v>1000993364</v>
      </c>
      <c r="F13" s="14" t="s">
        <v>81</v>
      </c>
    </row>
    <row r="14" spans="1:6" ht="15.75">
      <c r="A14" s="11" t="s">
        <v>27</v>
      </c>
      <c r="B14" s="12" t="s">
        <v>28</v>
      </c>
      <c r="C14" s="12">
        <v>303811</v>
      </c>
      <c r="D14" s="11" t="s">
        <v>34</v>
      </c>
      <c r="E14" s="13">
        <v>1012444285</v>
      </c>
      <c r="F14" s="14" t="s">
        <v>81</v>
      </c>
    </row>
    <row r="15" spans="1:6" ht="15.75">
      <c r="A15" s="11" t="s">
        <v>27</v>
      </c>
      <c r="B15" s="12" t="s">
        <v>28</v>
      </c>
      <c r="C15" s="12">
        <v>303814</v>
      </c>
      <c r="D15" s="11" t="s">
        <v>35</v>
      </c>
      <c r="E15" s="13">
        <v>1030522578</v>
      </c>
      <c r="F15" s="14" t="s">
        <v>81</v>
      </c>
    </row>
    <row r="16" spans="1:6" ht="15.75">
      <c r="A16" s="11" t="s">
        <v>27</v>
      </c>
      <c r="B16" s="12" t="s">
        <v>28</v>
      </c>
      <c r="C16" s="12">
        <v>303816</v>
      </c>
      <c r="D16" s="11" t="s">
        <v>36</v>
      </c>
      <c r="E16" s="13">
        <v>1010140530</v>
      </c>
      <c r="F16" s="14" t="s">
        <v>81</v>
      </c>
    </row>
    <row r="17" spans="1:6" ht="15.75">
      <c r="A17" s="11" t="s">
        <v>27</v>
      </c>
      <c r="B17" s="12" t="s">
        <v>28</v>
      </c>
      <c r="C17" s="12">
        <v>303819</v>
      </c>
      <c r="D17" s="11" t="s">
        <v>37</v>
      </c>
      <c r="E17" s="13">
        <v>1019011521</v>
      </c>
      <c r="F17" s="14" t="s">
        <v>81</v>
      </c>
    </row>
    <row r="18" spans="1:6" ht="15.75">
      <c r="A18" s="11" t="s">
        <v>27</v>
      </c>
      <c r="B18" s="12" t="s">
        <v>28</v>
      </c>
      <c r="C18" s="12">
        <v>303820</v>
      </c>
      <c r="D18" s="11" t="s">
        <v>38</v>
      </c>
      <c r="E18" s="13">
        <v>1000860515</v>
      </c>
      <c r="F18" s="14" t="s">
        <v>81</v>
      </c>
    </row>
    <row r="19" spans="1:6" ht="15.75">
      <c r="A19" s="11" t="s">
        <v>27</v>
      </c>
      <c r="B19" s="12" t="s">
        <v>28</v>
      </c>
      <c r="C19" s="12">
        <v>303822</v>
      </c>
      <c r="D19" s="11" t="s">
        <v>39</v>
      </c>
      <c r="E19" s="13">
        <v>1005341550</v>
      </c>
      <c r="F19" s="14" t="s">
        <v>81</v>
      </c>
    </row>
    <row r="20" spans="1:6" ht="15.75">
      <c r="A20" s="11" t="s">
        <v>27</v>
      </c>
      <c r="B20" s="12" t="s">
        <v>28</v>
      </c>
      <c r="C20" s="12">
        <v>303812</v>
      </c>
      <c r="D20" s="11" t="s">
        <v>40</v>
      </c>
      <c r="E20" s="15">
        <v>1013620827</v>
      </c>
      <c r="F20" s="14" t="s">
        <v>81</v>
      </c>
    </row>
    <row r="21" spans="1:6">
      <c r="A21" s="4" t="s">
        <v>41</v>
      </c>
      <c r="B21" s="5" t="s">
        <v>92</v>
      </c>
      <c r="C21" s="5">
        <v>113067</v>
      </c>
      <c r="D21" s="4" t="s">
        <v>42</v>
      </c>
      <c r="E21" s="8">
        <v>118380975</v>
      </c>
      <c r="F21" s="7" t="s">
        <v>89</v>
      </c>
    </row>
    <row r="22" spans="1:6">
      <c r="A22" s="4" t="s">
        <v>41</v>
      </c>
      <c r="B22" s="5" t="s">
        <v>92</v>
      </c>
      <c r="C22" s="5">
        <v>113060</v>
      </c>
      <c r="D22" s="9" t="s">
        <v>43</v>
      </c>
      <c r="E22" s="5">
        <v>801250876</v>
      </c>
      <c r="F22" s="7" t="s">
        <v>91</v>
      </c>
    </row>
    <row r="23" spans="1:6">
      <c r="A23" s="4" t="s">
        <v>41</v>
      </c>
      <c r="B23" s="5" t="s">
        <v>92</v>
      </c>
      <c r="C23" s="5">
        <v>113065</v>
      </c>
      <c r="D23" s="9" t="s">
        <v>44</v>
      </c>
      <c r="E23" s="5">
        <v>118860807</v>
      </c>
      <c r="F23" s="7" t="s">
        <v>89</v>
      </c>
    </row>
    <row r="24" spans="1:6">
      <c r="A24" s="4" t="s">
        <v>41</v>
      </c>
      <c r="B24" s="5" t="s">
        <v>92</v>
      </c>
      <c r="C24" s="5">
        <v>113034</v>
      </c>
      <c r="D24" s="4" t="s">
        <v>45</v>
      </c>
      <c r="E24" s="5">
        <v>118530610</v>
      </c>
      <c r="F24" s="7" t="s">
        <v>91</v>
      </c>
    </row>
    <row r="25" spans="1:6">
      <c r="A25" s="4" t="s">
        <v>41</v>
      </c>
      <c r="B25" s="5" t="s">
        <v>92</v>
      </c>
      <c r="C25" s="6">
        <v>113005</v>
      </c>
      <c r="D25" s="4" t="s">
        <v>46</v>
      </c>
      <c r="E25" s="10">
        <v>117000754</v>
      </c>
      <c r="F25" s="7" t="s">
        <v>80</v>
      </c>
    </row>
    <row r="26" spans="1:6">
      <c r="A26" s="4" t="s">
        <v>41</v>
      </c>
      <c r="B26" s="5" t="s">
        <v>92</v>
      </c>
      <c r="C26" s="6">
        <v>113024</v>
      </c>
      <c r="D26" s="4" t="s">
        <v>47</v>
      </c>
      <c r="E26" s="10">
        <v>123750189</v>
      </c>
      <c r="F26" s="7" t="s">
        <v>94</v>
      </c>
    </row>
    <row r="27" spans="1:6">
      <c r="A27" s="4" t="s">
        <v>41</v>
      </c>
      <c r="B27" s="5" t="s">
        <v>92</v>
      </c>
      <c r="C27" s="6">
        <v>113017</v>
      </c>
      <c r="D27" s="4" t="s">
        <v>48</v>
      </c>
      <c r="E27" s="10">
        <v>118940479</v>
      </c>
      <c r="F27" s="7" t="s">
        <v>80</v>
      </c>
    </row>
    <row r="28" spans="1:6">
      <c r="A28" s="4" t="s">
        <v>41</v>
      </c>
      <c r="B28" s="5" t="s">
        <v>92</v>
      </c>
      <c r="C28" s="6">
        <v>113022</v>
      </c>
      <c r="D28" s="4" t="s">
        <v>49</v>
      </c>
      <c r="E28" s="10">
        <v>115980772</v>
      </c>
      <c r="F28" s="7" t="s">
        <v>80</v>
      </c>
    </row>
    <row r="29" spans="1:6">
      <c r="A29" s="4" t="s">
        <v>50</v>
      </c>
      <c r="B29" s="5" t="s">
        <v>92</v>
      </c>
      <c r="C29" s="6">
        <v>113062</v>
      </c>
      <c r="D29" s="4" t="s">
        <v>51</v>
      </c>
      <c r="E29" s="10">
        <v>117680697</v>
      </c>
      <c r="F29" s="7" t="s">
        <v>80</v>
      </c>
    </row>
    <row r="30" spans="1:6">
      <c r="A30" s="4" t="s">
        <v>50</v>
      </c>
      <c r="B30" s="5" t="s">
        <v>92</v>
      </c>
      <c r="C30" s="6">
        <v>113080</v>
      </c>
      <c r="D30" s="4" t="s">
        <v>52</v>
      </c>
      <c r="E30" s="16" t="s">
        <v>53</v>
      </c>
      <c r="F30" s="7" t="s">
        <v>85</v>
      </c>
    </row>
    <row r="31" spans="1:6">
      <c r="A31" s="4" t="s">
        <v>50</v>
      </c>
      <c r="B31" s="5" t="s">
        <v>92</v>
      </c>
      <c r="C31" s="5">
        <v>113068</v>
      </c>
      <c r="D31" s="4" t="s">
        <v>54</v>
      </c>
      <c r="E31" s="5">
        <v>117250372</v>
      </c>
      <c r="F31" s="7" t="s">
        <v>85</v>
      </c>
    </row>
    <row r="32" spans="1:6">
      <c r="A32" s="4" t="s">
        <v>50</v>
      </c>
      <c r="B32" s="5" t="s">
        <v>92</v>
      </c>
      <c r="C32" s="17">
        <v>113144</v>
      </c>
      <c r="D32" s="4" t="s">
        <v>55</v>
      </c>
      <c r="E32" s="17" t="s">
        <v>56</v>
      </c>
      <c r="F32" s="7" t="s">
        <v>85</v>
      </c>
    </row>
    <row r="33" spans="1:6">
      <c r="A33" s="4" t="s">
        <v>50</v>
      </c>
      <c r="B33" s="5" t="s">
        <v>92</v>
      </c>
      <c r="C33" s="5">
        <v>113015</v>
      </c>
      <c r="D33" s="4" t="s">
        <v>57</v>
      </c>
      <c r="E33" s="5">
        <v>402560307</v>
      </c>
      <c r="F33" s="7" t="s">
        <v>85</v>
      </c>
    </row>
    <row r="34" spans="1:6">
      <c r="A34" s="4" t="s">
        <v>50</v>
      </c>
      <c r="B34" s="5" t="s">
        <v>92</v>
      </c>
      <c r="C34" s="5">
        <v>113047</v>
      </c>
      <c r="D34" s="4" t="s">
        <v>58</v>
      </c>
      <c r="E34" s="5">
        <v>304740016</v>
      </c>
      <c r="F34" s="7" t="s">
        <v>85</v>
      </c>
    </row>
    <row r="35" spans="1:6">
      <c r="A35" s="4" t="s">
        <v>50</v>
      </c>
      <c r="B35" s="5" t="s">
        <v>92</v>
      </c>
      <c r="C35" s="5">
        <v>113021</v>
      </c>
      <c r="D35" s="4" t="s">
        <v>59</v>
      </c>
      <c r="E35" s="5">
        <v>116430040</v>
      </c>
      <c r="F35" s="7" t="s">
        <v>85</v>
      </c>
    </row>
    <row r="36" spans="1:6">
      <c r="A36" s="4" t="s">
        <v>50</v>
      </c>
      <c r="B36" s="5" t="s">
        <v>92</v>
      </c>
      <c r="C36" s="5">
        <v>113027</v>
      </c>
      <c r="D36" s="4" t="s">
        <v>60</v>
      </c>
      <c r="E36" s="5">
        <v>115870156</v>
      </c>
      <c r="F36" s="7" t="s">
        <v>85</v>
      </c>
    </row>
    <row r="37" spans="1:6">
      <c r="A37" s="4" t="s">
        <v>50</v>
      </c>
      <c r="B37" s="5" t="s">
        <v>92</v>
      </c>
      <c r="C37" s="5">
        <v>113008</v>
      </c>
      <c r="D37" s="4" t="s">
        <v>61</v>
      </c>
      <c r="E37" s="5" t="s">
        <v>62</v>
      </c>
      <c r="F37" s="7" t="s">
        <v>80</v>
      </c>
    </row>
    <row r="38" spans="1:6">
      <c r="A38" s="4" t="s">
        <v>50</v>
      </c>
      <c r="B38" s="5" t="s">
        <v>92</v>
      </c>
      <c r="C38" s="5">
        <v>113101</v>
      </c>
      <c r="D38" s="4" t="s">
        <v>63</v>
      </c>
      <c r="E38" s="5">
        <v>118580266</v>
      </c>
      <c r="F38" s="7" t="s">
        <v>80</v>
      </c>
    </row>
    <row r="39" spans="1:6">
      <c r="A39" s="4" t="s">
        <v>50</v>
      </c>
      <c r="B39" s="5" t="s">
        <v>92</v>
      </c>
      <c r="C39" s="5">
        <v>113025</v>
      </c>
      <c r="D39" s="4" t="s">
        <v>64</v>
      </c>
      <c r="E39" s="5">
        <v>119480716</v>
      </c>
      <c r="F39" s="7" t="s">
        <v>80</v>
      </c>
    </row>
    <row r="40" spans="1:6">
      <c r="A40" s="4" t="s">
        <v>50</v>
      </c>
      <c r="B40" s="5" t="s">
        <v>92</v>
      </c>
      <c r="C40" s="5">
        <v>113028</v>
      </c>
      <c r="D40" s="4" t="s">
        <v>65</v>
      </c>
      <c r="E40" s="5">
        <v>118670905</v>
      </c>
      <c r="F40" s="7" t="s">
        <v>80</v>
      </c>
    </row>
    <row r="41" spans="1:6">
      <c r="A41" s="4" t="s">
        <v>66</v>
      </c>
      <c r="B41" s="5" t="s">
        <v>92</v>
      </c>
      <c r="C41" s="6">
        <v>113051</v>
      </c>
      <c r="D41" s="4" t="s">
        <v>67</v>
      </c>
      <c r="E41" s="10">
        <v>117000618</v>
      </c>
      <c r="F41" s="7" t="s">
        <v>80</v>
      </c>
    </row>
    <row r="42" spans="1:6">
      <c r="A42" s="4" t="s">
        <v>66</v>
      </c>
      <c r="B42" s="5" t="s">
        <v>92</v>
      </c>
      <c r="C42" s="6">
        <v>113004</v>
      </c>
      <c r="D42" s="4" t="s">
        <v>68</v>
      </c>
      <c r="E42" s="10">
        <v>304610519</v>
      </c>
      <c r="F42" s="7" t="s">
        <v>80</v>
      </c>
    </row>
    <row r="43" spans="1:6">
      <c r="A43" s="4" t="s">
        <v>66</v>
      </c>
      <c r="B43" s="5" t="s">
        <v>92</v>
      </c>
      <c r="C43" s="6">
        <v>113038</v>
      </c>
      <c r="D43" s="4" t="s">
        <v>69</v>
      </c>
      <c r="E43" s="10">
        <v>305240117</v>
      </c>
      <c r="F43" s="7" t="s">
        <v>80</v>
      </c>
    </row>
    <row r="44" spans="1:6">
      <c r="A44" s="4" t="s">
        <v>66</v>
      </c>
      <c r="B44" s="18" t="s">
        <v>93</v>
      </c>
      <c r="C44" s="5">
        <v>113002</v>
      </c>
      <c r="D44" s="4" t="s">
        <v>70</v>
      </c>
      <c r="E44" s="5">
        <v>305090315</v>
      </c>
      <c r="F44" s="7" t="s">
        <v>88</v>
      </c>
    </row>
    <row r="45" spans="1:6">
      <c r="A45" s="4" t="s">
        <v>66</v>
      </c>
      <c r="B45" s="18" t="s">
        <v>93</v>
      </c>
      <c r="C45" s="5">
        <v>113050</v>
      </c>
      <c r="D45" s="4" t="s">
        <v>71</v>
      </c>
      <c r="E45" s="5">
        <v>115030010</v>
      </c>
      <c r="F45" s="7" t="s">
        <v>88</v>
      </c>
    </row>
    <row r="46" spans="1:6">
      <c r="A46" s="4" t="s">
        <v>66</v>
      </c>
      <c r="B46" s="18" t="s">
        <v>93</v>
      </c>
      <c r="C46" s="6">
        <v>113020</v>
      </c>
      <c r="D46" s="4" t="s">
        <v>72</v>
      </c>
      <c r="E46" s="10" t="s">
        <v>73</v>
      </c>
      <c r="F46" s="7" t="s">
        <v>88</v>
      </c>
    </row>
    <row r="47" spans="1:6">
      <c r="A47" s="4" t="s">
        <v>66</v>
      </c>
      <c r="B47" s="5" t="s">
        <v>92</v>
      </c>
      <c r="C47" s="5">
        <v>113058</v>
      </c>
      <c r="D47" s="4" t="s">
        <v>74</v>
      </c>
      <c r="E47" s="5">
        <v>118650921</v>
      </c>
      <c r="F47" s="7" t="s">
        <v>80</v>
      </c>
    </row>
    <row r="48" spans="1:6">
      <c r="A48" s="4" t="s">
        <v>66</v>
      </c>
      <c r="B48" s="18" t="s">
        <v>86</v>
      </c>
      <c r="C48" s="5">
        <v>113018</v>
      </c>
      <c r="D48" s="4" t="s">
        <v>75</v>
      </c>
      <c r="E48" s="5">
        <v>114820484</v>
      </c>
      <c r="F48" s="7" t="s">
        <v>86</v>
      </c>
    </row>
    <row r="49" spans="1:6">
      <c r="A49" s="4" t="s">
        <v>66</v>
      </c>
      <c r="B49" s="18" t="s">
        <v>87</v>
      </c>
      <c r="C49" s="5">
        <v>113001</v>
      </c>
      <c r="D49" s="4" t="s">
        <v>76</v>
      </c>
      <c r="E49" s="5">
        <v>106470751</v>
      </c>
      <c r="F49" s="7" t="s">
        <v>87</v>
      </c>
    </row>
    <row r="50" spans="1:6">
      <c r="A50" s="4" t="s">
        <v>66</v>
      </c>
      <c r="B50" s="5" t="s">
        <v>92</v>
      </c>
      <c r="C50" s="5">
        <v>113123</v>
      </c>
      <c r="D50" s="4" t="s">
        <v>77</v>
      </c>
      <c r="E50" s="5">
        <v>119160620</v>
      </c>
      <c r="F50" s="7" t="s">
        <v>80</v>
      </c>
    </row>
    <row r="51" spans="1:6">
      <c r="A51" s="4" t="s">
        <v>66</v>
      </c>
      <c r="B51" s="5" t="s">
        <v>92</v>
      </c>
      <c r="C51" s="5">
        <v>113079</v>
      </c>
      <c r="D51" s="4" t="s">
        <v>78</v>
      </c>
      <c r="E51" s="5">
        <v>119460847</v>
      </c>
      <c r="F51" s="7" t="s">
        <v>80</v>
      </c>
    </row>
  </sheetData>
  <conditionalFormatting sqref="F2:F8 F25:F27">
    <cfRule type="expression" dxfId="5" priority="16">
      <formula>IF(ISEVEN($C3),1,0)</formula>
    </cfRule>
  </conditionalFormatting>
  <conditionalFormatting sqref="F21:F23">
    <cfRule type="expression" dxfId="4" priority="14">
      <formula>IF(ISEVEN($C22),1,0)</formula>
    </cfRule>
  </conditionalFormatting>
  <conditionalFormatting sqref="F24 F28">
    <cfRule type="expression" dxfId="3" priority="12">
      <formula>IF(ISEVEN(#REF!),1,0)</formula>
    </cfRule>
  </conditionalFormatting>
  <conditionalFormatting sqref="F29:F46">
    <cfRule type="expression" dxfId="2" priority="1">
      <formula>IF(ISEVEN($C30),1,0)</formula>
    </cfRule>
  </conditionalFormatting>
  <conditionalFormatting sqref="F30:F36">
    <cfRule type="expression" dxfId="1" priority="2">
      <formula>IF(ISEVEN(#REF!),1,0)</formula>
    </cfRule>
  </conditionalFormatting>
  <conditionalFormatting sqref="F47:F51">
    <cfRule type="expression" dxfId="0" priority="18">
      <formula>IF(ISEVEN($C47),1,0)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Novedades Semanal</vt:lpstr>
      <vt:lpstr>BBDD_Interna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Enrique Cascante Moraga</dc:creator>
  <cp:lastModifiedBy>Enrique Cascante</cp:lastModifiedBy>
  <dcterms:created xsi:type="dcterms:W3CDTF">2026-02-08T22:52:20Z</dcterms:created>
  <dcterms:modified xsi:type="dcterms:W3CDTF">2026-04-06T00:28:08Z</dcterms:modified>
</cp:coreProperties>
</file>